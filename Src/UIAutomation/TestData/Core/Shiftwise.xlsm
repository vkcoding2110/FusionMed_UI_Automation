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fusionmedstaff-my.sharepoint.com/personal/emily_gamm_fusionmedstaff_com/Documents/Desktop/"/>
    </mc:Choice>
  </mc:AlternateContent>
  <xr:revisionPtr revIDLastSave="0" documentId="8_{FB770BC3-CE40-4B0E-9629-AC5F1D94B269}" xr6:coauthVersionLast="41" xr6:coauthVersionMax="41" xr10:uidLastSave="{00000000-0000-0000-0000-000000000000}"/>
  <bookViews>
    <workbookView xWindow="-120" yWindow="-120" windowWidth="29040" windowHeight="15840"/>
  </bookViews>
  <sheets>
    <sheet name="MSVStatement (26)" sheetId="1" r:id="rId1"/>
  </sheets>
  <calcPr calcId="0"/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</calcChain>
</file>

<file path=xl/sharedStrings.xml><?xml version="1.0" encoding="utf-8"?>
<sst xmlns="http://schemas.openxmlformats.org/spreadsheetml/2006/main" count="543" uniqueCount="74">
  <si>
    <t>Name</t>
  </si>
  <si>
    <t>Organization</t>
  </si>
  <si>
    <t>Type</t>
  </si>
  <si>
    <t>Specialty</t>
  </si>
  <si>
    <t>Cost Center</t>
  </si>
  <si>
    <t>Acct Code</t>
  </si>
  <si>
    <t>Time In</t>
  </si>
  <si>
    <t>Shift</t>
  </si>
  <si>
    <t>Time Out</t>
  </si>
  <si>
    <t>Facility</t>
  </si>
  <si>
    <t>Unit</t>
  </si>
  <si>
    <t>Order #</t>
  </si>
  <si>
    <t>Order Type</t>
  </si>
  <si>
    <t>Timeslip #</t>
  </si>
  <si>
    <t>TimeSlip_IDSuffix</t>
  </si>
  <si>
    <t>Invoice #</t>
  </si>
  <si>
    <t>Approved By</t>
  </si>
  <si>
    <t>Billing Date</t>
  </si>
  <si>
    <t>Day</t>
  </si>
  <si>
    <t>Desc</t>
  </si>
  <si>
    <t>Hours</t>
  </si>
  <si>
    <t>OT Hours</t>
  </si>
  <si>
    <t>Units</t>
  </si>
  <si>
    <t>Rate</t>
  </si>
  <si>
    <t>Amount</t>
  </si>
  <si>
    <t>Hagerty, Mary</t>
  </si>
  <si>
    <t>Fusion Medical Staffing, LLC</t>
  </si>
  <si>
    <t>PT</t>
  </si>
  <si>
    <t>Physical Therapist</t>
  </si>
  <si>
    <t>11/12/2019 0800</t>
  </si>
  <si>
    <t>AM</t>
  </si>
  <si>
    <t>11/12/2019 1630</t>
  </si>
  <si>
    <t>W- Yuma Rehabilitation Hospital</t>
  </si>
  <si>
    <t>Physical Therapy</t>
  </si>
  <si>
    <t>LT</t>
  </si>
  <si>
    <t>Jennifer Sullivan</t>
  </si>
  <si>
    <t>12/06/2019 0000</t>
  </si>
  <si>
    <t>WD</t>
  </si>
  <si>
    <t>Std</t>
  </si>
  <si>
    <t>11/14/2019 0800</t>
  </si>
  <si>
    <t>11/14/2019 1630</t>
  </si>
  <si>
    <t>11/15/2019 0800</t>
  </si>
  <si>
    <t>11/15/2019 1630</t>
  </si>
  <si>
    <t>11/16/2019 0800</t>
  </si>
  <si>
    <t>11/16/2019 1700</t>
  </si>
  <si>
    <t>WE</t>
  </si>
  <si>
    <t>Hagerty, David</t>
  </si>
  <si>
    <t>11/13/2019 0800</t>
  </si>
  <si>
    <t>11/13/2019 1630</t>
  </si>
  <si>
    <t>11/16/2019 1645</t>
  </si>
  <si>
    <t>Corle, Lydia</t>
  </si>
  <si>
    <t>11/11/2019 0800</t>
  </si>
  <si>
    <t>11/11/2019 1630</t>
  </si>
  <si>
    <t>Lark, Jacob</t>
  </si>
  <si>
    <t>11/17/2019 0800</t>
  </si>
  <si>
    <t>11/17/2019 1700</t>
  </si>
  <si>
    <t>11/18/2019 0800</t>
  </si>
  <si>
    <t>11/18/2019 1630</t>
  </si>
  <si>
    <t>11/19/2019 0800</t>
  </si>
  <si>
    <t>11/19/2019 1230</t>
  </si>
  <si>
    <t>11/20/2019 0800</t>
  </si>
  <si>
    <t>11/20/2019 1230</t>
  </si>
  <si>
    <t>11/21/2019 0800</t>
  </si>
  <si>
    <t>11/21/2019 1630</t>
  </si>
  <si>
    <t>11/20/2019 1630</t>
  </si>
  <si>
    <t>11/21/2019 1645</t>
  </si>
  <si>
    <t>11/22/2019 0800</t>
  </si>
  <si>
    <t>11/22/2019 1630</t>
  </si>
  <si>
    <t>OT</t>
  </si>
  <si>
    <t>11/19/2019 1630</t>
  </si>
  <si>
    <t>11/20/2019 1330</t>
  </si>
  <si>
    <t>11/23/2019 0800</t>
  </si>
  <si>
    <t>11/23/2019 1630</t>
  </si>
  <si>
    <t>11/21/2019 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</si>
</sst>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8"/>
  <sheetViews>
    <sheetView tabSelected="1" workbookViewId="0"/>
  </sheetViews>
  <sheetFormatPr defaultRowHeight="15" x14ac:dyDescent="0.25"/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5">
      <c r="A2" t="s">
        <v>25</v>
      </c>
      <c r="B2" t="s">
        <v>26</v>
      </c>
      <c r="C2" t="s">
        <v>27</v>
      </c>
      <c r="D2" t="s">
        <v>28</v>
      </c>
      <c r="E2">
        <v>201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>
        <v>8334722</v>
      </c>
      <c r="M2" t="s">
        <v>34</v>
      </c>
      <c r="N2">
        <v>14204035</v>
      </c>
      <c r="O2" t="e">
        <f t="shared" ref="O2:O38" si="0">-S</f>
        <v>#NAME?</v>
      </c>
      <c r="P2">
        <v>1450511</v>
      </c>
      <c r="Q2" t="s">
        <v>35</v>
      </c>
      <c r="R2" t="s">
        <v>36</v>
      </c>
      <c r="S2" t="s">
        <v>37</v>
      </c>
      <c r="T2" t="s">
        <v>38</v>
      </c>
      <c r="U2">
        <v>8</v>
      </c>
      <c r="X2">
        <v>69</v>
      </c>
      <c r="Y2">
        <v>552</v>
      </c>
    </row>
    <row r="3" spans="1:25" x14ac:dyDescent="0.25">
      <c r="A3" t="s">
        <v>25</v>
      </c>
      <c r="B3" t="s">
        <v>26</v>
      </c>
      <c r="C3" t="s">
        <v>27</v>
      </c>
      <c r="D3" t="s">
        <v>28</v>
      </c>
      <c r="E3">
        <v>201</v>
      </c>
      <c r="G3" t="s">
        <v>39</v>
      </c>
      <c r="H3" t="s">
        <v>30</v>
      </c>
      <c r="I3" t="s">
        <v>40</v>
      </c>
      <c r="J3" t="s">
        <v>32</v>
      </c>
      <c r="K3" t="s">
        <v>33</v>
      </c>
      <c r="L3">
        <v>8334722</v>
      </c>
      <c r="M3" t="s">
        <v>34</v>
      </c>
      <c r="N3">
        <v>14204038</v>
      </c>
      <c r="O3" t="e">
        <f t="shared" si="0"/>
        <v>#NAME?</v>
      </c>
      <c r="P3">
        <v>1450511</v>
      </c>
      <c r="Q3" t="s">
        <v>35</v>
      </c>
      <c r="R3" t="s">
        <v>36</v>
      </c>
      <c r="S3" t="s">
        <v>37</v>
      </c>
      <c r="T3" t="s">
        <v>38</v>
      </c>
      <c r="U3">
        <v>8</v>
      </c>
      <c r="X3">
        <v>69</v>
      </c>
      <c r="Y3">
        <v>552</v>
      </c>
    </row>
    <row r="4" spans="1:25" x14ac:dyDescent="0.25">
      <c r="A4" t="s">
        <v>25</v>
      </c>
      <c r="B4" t="s">
        <v>26</v>
      </c>
      <c r="C4" t="s">
        <v>27</v>
      </c>
      <c r="D4" t="s">
        <v>28</v>
      </c>
      <c r="E4">
        <v>201</v>
      </c>
      <c r="G4" t="s">
        <v>41</v>
      </c>
      <c r="H4" t="s">
        <v>30</v>
      </c>
      <c r="I4" t="s">
        <v>42</v>
      </c>
      <c r="J4" t="s">
        <v>32</v>
      </c>
      <c r="K4" t="s">
        <v>33</v>
      </c>
      <c r="L4">
        <v>8334722</v>
      </c>
      <c r="M4" t="s">
        <v>34</v>
      </c>
      <c r="N4">
        <v>14204044</v>
      </c>
      <c r="O4" t="e">
        <f t="shared" si="0"/>
        <v>#NAME?</v>
      </c>
      <c r="P4">
        <v>1450511</v>
      </c>
      <c r="Q4" t="s">
        <v>35</v>
      </c>
      <c r="R4" t="s">
        <v>36</v>
      </c>
      <c r="S4" t="s">
        <v>37</v>
      </c>
      <c r="T4" t="s">
        <v>38</v>
      </c>
      <c r="U4">
        <v>8</v>
      </c>
      <c r="X4">
        <v>69</v>
      </c>
      <c r="Y4">
        <v>552</v>
      </c>
    </row>
    <row r="5" spans="1:25" x14ac:dyDescent="0.25">
      <c r="A5" t="s">
        <v>25</v>
      </c>
      <c r="B5" t="s">
        <v>26</v>
      </c>
      <c r="C5" t="s">
        <v>27</v>
      </c>
      <c r="D5" t="s">
        <v>28</v>
      </c>
      <c r="E5">
        <v>201</v>
      </c>
      <c r="G5" t="s">
        <v>43</v>
      </c>
      <c r="H5" t="s">
        <v>30</v>
      </c>
      <c r="I5" t="s">
        <v>44</v>
      </c>
      <c r="J5" t="s">
        <v>32</v>
      </c>
      <c r="K5" t="s">
        <v>33</v>
      </c>
      <c r="L5">
        <v>8334722</v>
      </c>
      <c r="M5" t="s">
        <v>34</v>
      </c>
      <c r="N5">
        <v>14204045</v>
      </c>
      <c r="O5" t="e">
        <f t="shared" si="0"/>
        <v>#NAME?</v>
      </c>
      <c r="P5">
        <v>1450511</v>
      </c>
      <c r="Q5" t="s">
        <v>35</v>
      </c>
      <c r="R5" t="s">
        <v>36</v>
      </c>
      <c r="S5" t="s">
        <v>45</v>
      </c>
      <c r="T5" t="s">
        <v>38</v>
      </c>
      <c r="U5">
        <v>8.5</v>
      </c>
      <c r="X5">
        <v>69</v>
      </c>
      <c r="Y5">
        <v>586.5</v>
      </c>
    </row>
    <row r="6" spans="1:25" x14ac:dyDescent="0.25">
      <c r="A6" t="s">
        <v>46</v>
      </c>
      <c r="B6" t="s">
        <v>26</v>
      </c>
      <c r="C6" t="s">
        <v>27</v>
      </c>
      <c r="D6" t="s">
        <v>28</v>
      </c>
      <c r="E6">
        <v>201</v>
      </c>
      <c r="G6" t="s">
        <v>29</v>
      </c>
      <c r="H6" t="s">
        <v>30</v>
      </c>
      <c r="I6" t="s">
        <v>31</v>
      </c>
      <c r="J6" t="s">
        <v>32</v>
      </c>
      <c r="K6" t="s">
        <v>33</v>
      </c>
      <c r="L6">
        <v>8334723</v>
      </c>
      <c r="M6" t="s">
        <v>34</v>
      </c>
      <c r="N6">
        <v>14204051</v>
      </c>
      <c r="O6" t="e">
        <f t="shared" si="0"/>
        <v>#NAME?</v>
      </c>
      <c r="P6">
        <v>1450511</v>
      </c>
      <c r="Q6" t="s">
        <v>35</v>
      </c>
      <c r="R6" t="s">
        <v>36</v>
      </c>
      <c r="S6" t="s">
        <v>37</v>
      </c>
      <c r="T6" t="s">
        <v>38</v>
      </c>
      <c r="U6">
        <v>8</v>
      </c>
      <c r="X6">
        <v>69</v>
      </c>
      <c r="Y6">
        <v>552</v>
      </c>
    </row>
    <row r="7" spans="1:25" x14ac:dyDescent="0.25">
      <c r="A7" t="s">
        <v>46</v>
      </c>
      <c r="B7" t="s">
        <v>26</v>
      </c>
      <c r="C7" t="s">
        <v>27</v>
      </c>
      <c r="D7" t="s">
        <v>28</v>
      </c>
      <c r="E7">
        <v>201</v>
      </c>
      <c r="G7" t="s">
        <v>47</v>
      </c>
      <c r="H7" t="s">
        <v>30</v>
      </c>
      <c r="I7" t="s">
        <v>48</v>
      </c>
      <c r="J7" t="s">
        <v>32</v>
      </c>
      <c r="K7" t="s">
        <v>33</v>
      </c>
      <c r="L7">
        <v>8334723</v>
      </c>
      <c r="M7" t="s">
        <v>34</v>
      </c>
      <c r="N7">
        <v>14204066</v>
      </c>
      <c r="O7" t="e">
        <f t="shared" si="0"/>
        <v>#NAME?</v>
      </c>
      <c r="P7">
        <v>1450511</v>
      </c>
      <c r="Q7" t="s">
        <v>35</v>
      </c>
      <c r="R7" t="s">
        <v>36</v>
      </c>
      <c r="S7" t="s">
        <v>37</v>
      </c>
      <c r="T7" t="s">
        <v>38</v>
      </c>
      <c r="U7">
        <v>8</v>
      </c>
      <c r="X7">
        <v>69</v>
      </c>
      <c r="Y7">
        <v>552</v>
      </c>
    </row>
    <row r="8" spans="1:25" x14ac:dyDescent="0.25">
      <c r="A8" t="s">
        <v>46</v>
      </c>
      <c r="B8" t="s">
        <v>26</v>
      </c>
      <c r="C8" t="s">
        <v>27</v>
      </c>
      <c r="D8" t="s">
        <v>28</v>
      </c>
      <c r="E8">
        <v>201</v>
      </c>
      <c r="G8" t="s">
        <v>39</v>
      </c>
      <c r="H8" t="s">
        <v>30</v>
      </c>
      <c r="I8" t="s">
        <v>40</v>
      </c>
      <c r="J8" t="s">
        <v>32</v>
      </c>
      <c r="K8" t="s">
        <v>33</v>
      </c>
      <c r="L8">
        <v>8334723</v>
      </c>
      <c r="M8" t="s">
        <v>34</v>
      </c>
      <c r="N8">
        <v>14204067</v>
      </c>
      <c r="O8" t="e">
        <f t="shared" si="0"/>
        <v>#NAME?</v>
      </c>
      <c r="P8">
        <v>1450511</v>
      </c>
      <c r="Q8" t="s">
        <v>35</v>
      </c>
      <c r="R8" t="s">
        <v>36</v>
      </c>
      <c r="S8" t="s">
        <v>37</v>
      </c>
      <c r="T8" t="s">
        <v>38</v>
      </c>
      <c r="U8">
        <v>8</v>
      </c>
      <c r="X8">
        <v>69</v>
      </c>
      <c r="Y8">
        <v>552</v>
      </c>
    </row>
    <row r="9" spans="1:25" x14ac:dyDescent="0.25">
      <c r="A9" t="s">
        <v>46</v>
      </c>
      <c r="B9" t="s">
        <v>26</v>
      </c>
      <c r="C9" t="s">
        <v>27</v>
      </c>
      <c r="D9" t="s">
        <v>28</v>
      </c>
      <c r="E9">
        <v>201</v>
      </c>
      <c r="G9" t="s">
        <v>43</v>
      </c>
      <c r="H9" t="s">
        <v>30</v>
      </c>
      <c r="I9" t="s">
        <v>49</v>
      </c>
      <c r="J9" t="s">
        <v>32</v>
      </c>
      <c r="K9" t="s">
        <v>33</v>
      </c>
      <c r="L9">
        <v>8334723</v>
      </c>
      <c r="M9" t="s">
        <v>34</v>
      </c>
      <c r="N9">
        <v>14204070</v>
      </c>
      <c r="O9" t="e">
        <f t="shared" si="0"/>
        <v>#NAME?</v>
      </c>
      <c r="P9">
        <v>1450511</v>
      </c>
      <c r="Q9" t="s">
        <v>35</v>
      </c>
      <c r="R9" t="s">
        <v>36</v>
      </c>
      <c r="S9" t="s">
        <v>45</v>
      </c>
      <c r="T9" t="s">
        <v>38</v>
      </c>
      <c r="U9">
        <v>8.25</v>
      </c>
      <c r="X9">
        <v>69</v>
      </c>
      <c r="Y9">
        <v>569.25</v>
      </c>
    </row>
    <row r="10" spans="1:25" x14ac:dyDescent="0.25">
      <c r="A10" t="s">
        <v>50</v>
      </c>
      <c r="B10" t="s">
        <v>26</v>
      </c>
      <c r="C10" t="s">
        <v>27</v>
      </c>
      <c r="D10" t="s">
        <v>27</v>
      </c>
      <c r="E10">
        <v>201</v>
      </c>
      <c r="G10" t="s">
        <v>51</v>
      </c>
      <c r="H10" t="s">
        <v>30</v>
      </c>
      <c r="I10" t="s">
        <v>52</v>
      </c>
      <c r="J10" t="s">
        <v>32</v>
      </c>
      <c r="K10" t="s">
        <v>33</v>
      </c>
      <c r="L10">
        <v>8265655</v>
      </c>
      <c r="M10" t="s">
        <v>34</v>
      </c>
      <c r="N10">
        <v>14204115</v>
      </c>
      <c r="O10" t="e">
        <f t="shared" si="0"/>
        <v>#NAME?</v>
      </c>
      <c r="P10">
        <v>1450511</v>
      </c>
      <c r="Q10" t="s">
        <v>35</v>
      </c>
      <c r="R10" t="s">
        <v>36</v>
      </c>
      <c r="S10" t="s">
        <v>37</v>
      </c>
      <c r="T10" t="s">
        <v>38</v>
      </c>
      <c r="U10">
        <v>8</v>
      </c>
      <c r="X10">
        <v>67</v>
      </c>
      <c r="Y10">
        <v>536</v>
      </c>
    </row>
    <row r="11" spans="1:25" x14ac:dyDescent="0.25">
      <c r="A11" t="s">
        <v>50</v>
      </c>
      <c r="B11" t="s">
        <v>26</v>
      </c>
      <c r="C11" t="s">
        <v>27</v>
      </c>
      <c r="D11" t="s">
        <v>27</v>
      </c>
      <c r="E11">
        <v>201</v>
      </c>
      <c r="G11" t="s">
        <v>47</v>
      </c>
      <c r="H11" t="s">
        <v>30</v>
      </c>
      <c r="I11" t="s">
        <v>48</v>
      </c>
      <c r="J11" t="s">
        <v>32</v>
      </c>
      <c r="K11" t="s">
        <v>33</v>
      </c>
      <c r="L11">
        <v>8265655</v>
      </c>
      <c r="M11" t="s">
        <v>34</v>
      </c>
      <c r="N11">
        <v>14204120</v>
      </c>
      <c r="O11" t="e">
        <f t="shared" si="0"/>
        <v>#NAME?</v>
      </c>
      <c r="P11">
        <v>1450511</v>
      </c>
      <c r="Q11" t="s">
        <v>35</v>
      </c>
      <c r="R11" t="s">
        <v>36</v>
      </c>
      <c r="S11" t="s">
        <v>37</v>
      </c>
      <c r="T11" t="s">
        <v>38</v>
      </c>
      <c r="U11">
        <v>8</v>
      </c>
      <c r="X11">
        <v>67</v>
      </c>
      <c r="Y11">
        <v>536</v>
      </c>
    </row>
    <row r="12" spans="1:25" x14ac:dyDescent="0.25">
      <c r="A12" t="s">
        <v>50</v>
      </c>
      <c r="B12" t="s">
        <v>26</v>
      </c>
      <c r="C12" t="s">
        <v>27</v>
      </c>
      <c r="D12" t="s">
        <v>27</v>
      </c>
      <c r="E12">
        <v>201</v>
      </c>
      <c r="G12" t="s">
        <v>39</v>
      </c>
      <c r="H12" t="s">
        <v>30</v>
      </c>
      <c r="I12" t="s">
        <v>40</v>
      </c>
      <c r="J12" t="s">
        <v>32</v>
      </c>
      <c r="K12" t="s">
        <v>33</v>
      </c>
      <c r="L12">
        <v>8265655</v>
      </c>
      <c r="M12" t="s">
        <v>34</v>
      </c>
      <c r="N12">
        <v>14204124</v>
      </c>
      <c r="O12" t="e">
        <f t="shared" si="0"/>
        <v>#NAME?</v>
      </c>
      <c r="P12">
        <v>1450511</v>
      </c>
      <c r="Q12" t="s">
        <v>35</v>
      </c>
      <c r="R12" t="s">
        <v>36</v>
      </c>
      <c r="S12" t="s">
        <v>37</v>
      </c>
      <c r="T12" t="s">
        <v>38</v>
      </c>
      <c r="U12">
        <v>8</v>
      </c>
      <c r="X12">
        <v>67</v>
      </c>
      <c r="Y12">
        <v>536</v>
      </c>
    </row>
    <row r="13" spans="1:25" x14ac:dyDescent="0.25">
      <c r="A13" t="s">
        <v>50</v>
      </c>
      <c r="B13" t="s">
        <v>26</v>
      </c>
      <c r="C13" t="s">
        <v>27</v>
      </c>
      <c r="D13" t="s">
        <v>27</v>
      </c>
      <c r="E13">
        <v>201</v>
      </c>
      <c r="G13" t="s">
        <v>41</v>
      </c>
      <c r="H13" t="s">
        <v>30</v>
      </c>
      <c r="I13" t="s">
        <v>42</v>
      </c>
      <c r="J13" t="s">
        <v>32</v>
      </c>
      <c r="K13" t="s">
        <v>33</v>
      </c>
      <c r="L13">
        <v>8265655</v>
      </c>
      <c r="M13" t="s">
        <v>34</v>
      </c>
      <c r="N13">
        <v>14204131</v>
      </c>
      <c r="O13" t="e">
        <f t="shared" si="0"/>
        <v>#NAME?</v>
      </c>
      <c r="P13">
        <v>1450511</v>
      </c>
      <c r="Q13" t="s">
        <v>35</v>
      </c>
      <c r="R13" t="s">
        <v>36</v>
      </c>
      <c r="S13" t="s">
        <v>37</v>
      </c>
      <c r="T13" t="s">
        <v>38</v>
      </c>
      <c r="U13">
        <v>8</v>
      </c>
      <c r="X13">
        <v>67</v>
      </c>
      <c r="Y13">
        <v>536</v>
      </c>
    </row>
    <row r="14" spans="1:25" x14ac:dyDescent="0.25">
      <c r="A14" t="s">
        <v>53</v>
      </c>
      <c r="B14" t="s">
        <v>26</v>
      </c>
      <c r="C14" t="s">
        <v>27</v>
      </c>
      <c r="D14" t="s">
        <v>28</v>
      </c>
      <c r="E14">
        <v>201</v>
      </c>
      <c r="G14" t="s">
        <v>51</v>
      </c>
      <c r="H14" t="s">
        <v>30</v>
      </c>
      <c r="I14" t="s">
        <v>52</v>
      </c>
      <c r="J14" t="s">
        <v>32</v>
      </c>
      <c r="K14" t="s">
        <v>33</v>
      </c>
      <c r="L14">
        <v>8181726</v>
      </c>
      <c r="M14" t="s">
        <v>34</v>
      </c>
      <c r="N14">
        <v>14215364</v>
      </c>
      <c r="O14" t="e">
        <f t="shared" si="0"/>
        <v>#NAME?</v>
      </c>
      <c r="P14">
        <v>1450511</v>
      </c>
      <c r="Q14" t="s">
        <v>35</v>
      </c>
      <c r="R14" t="s">
        <v>36</v>
      </c>
      <c r="S14" t="s">
        <v>37</v>
      </c>
      <c r="T14" t="s">
        <v>38</v>
      </c>
      <c r="U14">
        <v>8</v>
      </c>
      <c r="X14">
        <v>67</v>
      </c>
      <c r="Y14">
        <v>536</v>
      </c>
    </row>
    <row r="15" spans="1:25" x14ac:dyDescent="0.25">
      <c r="A15" t="s">
        <v>53</v>
      </c>
      <c r="B15" t="s">
        <v>26</v>
      </c>
      <c r="C15" t="s">
        <v>27</v>
      </c>
      <c r="D15" t="s">
        <v>28</v>
      </c>
      <c r="E15">
        <v>201</v>
      </c>
      <c r="G15" t="s">
        <v>47</v>
      </c>
      <c r="H15" t="s">
        <v>30</v>
      </c>
      <c r="I15" t="s">
        <v>48</v>
      </c>
      <c r="J15" t="s">
        <v>32</v>
      </c>
      <c r="K15" t="s">
        <v>33</v>
      </c>
      <c r="L15">
        <v>8181726</v>
      </c>
      <c r="M15" t="s">
        <v>34</v>
      </c>
      <c r="N15">
        <v>14215368</v>
      </c>
      <c r="O15" t="e">
        <f t="shared" si="0"/>
        <v>#NAME?</v>
      </c>
      <c r="P15">
        <v>1450511</v>
      </c>
      <c r="Q15" t="s">
        <v>35</v>
      </c>
      <c r="R15" t="s">
        <v>36</v>
      </c>
      <c r="S15" t="s">
        <v>37</v>
      </c>
      <c r="T15" t="s">
        <v>38</v>
      </c>
      <c r="U15">
        <v>8</v>
      </c>
      <c r="X15">
        <v>67</v>
      </c>
      <c r="Y15">
        <v>536</v>
      </c>
    </row>
    <row r="16" spans="1:25" x14ac:dyDescent="0.25">
      <c r="A16" t="s">
        <v>53</v>
      </c>
      <c r="B16" t="s">
        <v>26</v>
      </c>
      <c r="C16" t="s">
        <v>27</v>
      </c>
      <c r="D16" t="s">
        <v>28</v>
      </c>
      <c r="E16">
        <v>201</v>
      </c>
      <c r="G16" t="s">
        <v>39</v>
      </c>
      <c r="H16" t="s">
        <v>30</v>
      </c>
      <c r="I16" t="s">
        <v>40</v>
      </c>
      <c r="J16" t="s">
        <v>32</v>
      </c>
      <c r="K16" t="s">
        <v>33</v>
      </c>
      <c r="L16">
        <v>8181726</v>
      </c>
      <c r="M16" t="s">
        <v>34</v>
      </c>
      <c r="N16">
        <v>14215372</v>
      </c>
      <c r="O16" t="e">
        <f t="shared" si="0"/>
        <v>#NAME?</v>
      </c>
      <c r="P16">
        <v>1450511</v>
      </c>
      <c r="Q16" t="s">
        <v>35</v>
      </c>
      <c r="R16" t="s">
        <v>36</v>
      </c>
      <c r="S16" t="s">
        <v>37</v>
      </c>
      <c r="T16" t="s">
        <v>38</v>
      </c>
      <c r="U16">
        <v>8</v>
      </c>
      <c r="X16">
        <v>67</v>
      </c>
      <c r="Y16">
        <v>536</v>
      </c>
    </row>
    <row r="17" spans="1:25" x14ac:dyDescent="0.25">
      <c r="A17" t="s">
        <v>53</v>
      </c>
      <c r="B17" t="s">
        <v>26</v>
      </c>
      <c r="C17" t="s">
        <v>27</v>
      </c>
      <c r="D17" t="s">
        <v>28</v>
      </c>
      <c r="E17">
        <v>201</v>
      </c>
      <c r="G17" t="s">
        <v>41</v>
      </c>
      <c r="H17" t="s">
        <v>30</v>
      </c>
      <c r="I17" t="s">
        <v>42</v>
      </c>
      <c r="J17" t="s">
        <v>32</v>
      </c>
      <c r="K17" t="s">
        <v>33</v>
      </c>
      <c r="L17">
        <v>8181726</v>
      </c>
      <c r="M17" t="s">
        <v>34</v>
      </c>
      <c r="N17">
        <v>14215376</v>
      </c>
      <c r="O17" t="e">
        <f t="shared" si="0"/>
        <v>#NAME?</v>
      </c>
      <c r="P17">
        <v>1450511</v>
      </c>
      <c r="Q17" t="s">
        <v>35</v>
      </c>
      <c r="R17" t="s">
        <v>36</v>
      </c>
      <c r="S17" t="s">
        <v>37</v>
      </c>
      <c r="T17" t="s">
        <v>38</v>
      </c>
      <c r="U17">
        <v>8</v>
      </c>
      <c r="X17">
        <v>67</v>
      </c>
      <c r="Y17">
        <v>536</v>
      </c>
    </row>
    <row r="18" spans="1:25" x14ac:dyDescent="0.25">
      <c r="A18" t="s">
        <v>25</v>
      </c>
      <c r="B18" t="s">
        <v>26</v>
      </c>
      <c r="C18" t="s">
        <v>27</v>
      </c>
      <c r="D18" t="s">
        <v>28</v>
      </c>
      <c r="E18">
        <v>201</v>
      </c>
      <c r="G18" t="s">
        <v>54</v>
      </c>
      <c r="H18" t="s">
        <v>30</v>
      </c>
      <c r="I18" t="s">
        <v>55</v>
      </c>
      <c r="J18" t="s">
        <v>32</v>
      </c>
      <c r="K18" t="s">
        <v>33</v>
      </c>
      <c r="L18">
        <v>8334722</v>
      </c>
      <c r="M18" t="s">
        <v>34</v>
      </c>
      <c r="N18">
        <v>14227946</v>
      </c>
      <c r="O18" t="e">
        <f t="shared" si="0"/>
        <v>#NAME?</v>
      </c>
      <c r="P18">
        <v>1450511</v>
      </c>
      <c r="Q18" t="s">
        <v>35</v>
      </c>
      <c r="R18" t="s">
        <v>36</v>
      </c>
      <c r="S18" t="s">
        <v>45</v>
      </c>
      <c r="T18" t="s">
        <v>38</v>
      </c>
      <c r="U18">
        <v>8.5</v>
      </c>
      <c r="X18">
        <v>69</v>
      </c>
      <c r="Y18">
        <v>586.5</v>
      </c>
    </row>
    <row r="19" spans="1:25" x14ac:dyDescent="0.25">
      <c r="A19" t="s">
        <v>25</v>
      </c>
      <c r="B19" t="s">
        <v>26</v>
      </c>
      <c r="C19" t="s">
        <v>27</v>
      </c>
      <c r="D19" t="s">
        <v>28</v>
      </c>
      <c r="E19">
        <v>201</v>
      </c>
      <c r="G19" t="s">
        <v>56</v>
      </c>
      <c r="H19" t="s">
        <v>30</v>
      </c>
      <c r="I19" t="s">
        <v>57</v>
      </c>
      <c r="J19" t="s">
        <v>32</v>
      </c>
      <c r="K19" t="s">
        <v>33</v>
      </c>
      <c r="L19">
        <v>8334722</v>
      </c>
      <c r="M19" t="s">
        <v>34</v>
      </c>
      <c r="N19">
        <v>14227952</v>
      </c>
      <c r="O19" t="e">
        <f t="shared" si="0"/>
        <v>#NAME?</v>
      </c>
      <c r="P19">
        <v>1450511</v>
      </c>
      <c r="Q19" t="s">
        <v>35</v>
      </c>
      <c r="R19" t="s">
        <v>36</v>
      </c>
      <c r="S19" t="s">
        <v>37</v>
      </c>
      <c r="T19" t="s">
        <v>38</v>
      </c>
      <c r="U19">
        <v>8</v>
      </c>
      <c r="X19">
        <v>69</v>
      </c>
      <c r="Y19">
        <v>552</v>
      </c>
    </row>
    <row r="20" spans="1:25" x14ac:dyDescent="0.25">
      <c r="A20" t="s">
        <v>25</v>
      </c>
      <c r="B20" t="s">
        <v>26</v>
      </c>
      <c r="C20" t="s">
        <v>27</v>
      </c>
      <c r="D20" t="s">
        <v>28</v>
      </c>
      <c r="E20">
        <v>201</v>
      </c>
      <c r="G20" t="s">
        <v>58</v>
      </c>
      <c r="H20" t="s">
        <v>30</v>
      </c>
      <c r="I20" t="s">
        <v>59</v>
      </c>
      <c r="J20" t="s">
        <v>32</v>
      </c>
      <c r="K20" t="s">
        <v>33</v>
      </c>
      <c r="L20">
        <v>8334722</v>
      </c>
      <c r="M20" t="s">
        <v>34</v>
      </c>
      <c r="N20">
        <v>14227956</v>
      </c>
      <c r="O20" t="e">
        <f t="shared" si="0"/>
        <v>#NAME?</v>
      </c>
      <c r="P20">
        <v>1450511</v>
      </c>
      <c r="Q20" t="s">
        <v>35</v>
      </c>
      <c r="R20" t="s">
        <v>36</v>
      </c>
      <c r="S20" t="s">
        <v>37</v>
      </c>
      <c r="T20" t="s">
        <v>38</v>
      </c>
      <c r="U20">
        <v>4.5</v>
      </c>
      <c r="X20">
        <v>69</v>
      </c>
      <c r="Y20">
        <v>310.5</v>
      </c>
    </row>
    <row r="21" spans="1:25" x14ac:dyDescent="0.25">
      <c r="A21" t="s">
        <v>25</v>
      </c>
      <c r="B21" t="s">
        <v>26</v>
      </c>
      <c r="C21" t="s">
        <v>27</v>
      </c>
      <c r="D21" t="s">
        <v>28</v>
      </c>
      <c r="E21">
        <v>201</v>
      </c>
      <c r="G21" t="s">
        <v>60</v>
      </c>
      <c r="H21" t="s">
        <v>30</v>
      </c>
      <c r="I21" t="s">
        <v>61</v>
      </c>
      <c r="J21" t="s">
        <v>32</v>
      </c>
      <c r="K21" t="s">
        <v>33</v>
      </c>
      <c r="L21">
        <v>8334722</v>
      </c>
      <c r="M21" t="s">
        <v>34</v>
      </c>
      <c r="N21">
        <v>14227962</v>
      </c>
      <c r="O21" t="e">
        <f t="shared" si="0"/>
        <v>#NAME?</v>
      </c>
      <c r="P21">
        <v>1450511</v>
      </c>
      <c r="Q21" t="s">
        <v>35</v>
      </c>
      <c r="R21" t="s">
        <v>36</v>
      </c>
      <c r="S21" t="s">
        <v>37</v>
      </c>
      <c r="T21" t="s">
        <v>38</v>
      </c>
      <c r="U21">
        <v>4.5</v>
      </c>
      <c r="X21">
        <v>69</v>
      </c>
      <c r="Y21">
        <v>310.5</v>
      </c>
    </row>
    <row r="22" spans="1:25" x14ac:dyDescent="0.25">
      <c r="A22" t="s">
        <v>25</v>
      </c>
      <c r="B22" t="s">
        <v>26</v>
      </c>
      <c r="C22" t="s">
        <v>27</v>
      </c>
      <c r="D22" t="s">
        <v>28</v>
      </c>
      <c r="E22">
        <v>201</v>
      </c>
      <c r="G22" t="s">
        <v>62</v>
      </c>
      <c r="H22" t="s">
        <v>30</v>
      </c>
      <c r="I22" t="s">
        <v>63</v>
      </c>
      <c r="J22" t="s">
        <v>32</v>
      </c>
      <c r="K22" t="s">
        <v>33</v>
      </c>
      <c r="L22">
        <v>8334722</v>
      </c>
      <c r="M22" t="s">
        <v>34</v>
      </c>
      <c r="N22">
        <v>14227964</v>
      </c>
      <c r="O22" t="e">
        <f t="shared" si="0"/>
        <v>#NAME?</v>
      </c>
      <c r="P22">
        <v>1450511</v>
      </c>
      <c r="Q22" t="s">
        <v>35</v>
      </c>
      <c r="R22" t="s">
        <v>36</v>
      </c>
      <c r="S22" t="s">
        <v>37</v>
      </c>
      <c r="T22" t="s">
        <v>38</v>
      </c>
      <c r="U22">
        <v>8</v>
      </c>
      <c r="X22">
        <v>69</v>
      </c>
      <c r="Y22">
        <v>552</v>
      </c>
    </row>
    <row r="23" spans="1:25" x14ac:dyDescent="0.25">
      <c r="A23" t="s">
        <v>46</v>
      </c>
      <c r="B23" t="s">
        <v>26</v>
      </c>
      <c r="C23" t="s">
        <v>27</v>
      </c>
      <c r="D23" t="s">
        <v>28</v>
      </c>
      <c r="E23">
        <v>201</v>
      </c>
      <c r="G23" t="s">
        <v>54</v>
      </c>
      <c r="H23" t="s">
        <v>30</v>
      </c>
      <c r="I23" t="s">
        <v>55</v>
      </c>
      <c r="J23" t="s">
        <v>32</v>
      </c>
      <c r="K23" t="s">
        <v>33</v>
      </c>
      <c r="L23">
        <v>8334723</v>
      </c>
      <c r="M23" t="s">
        <v>34</v>
      </c>
      <c r="N23">
        <v>14227974</v>
      </c>
      <c r="O23" t="e">
        <f t="shared" si="0"/>
        <v>#NAME?</v>
      </c>
      <c r="P23">
        <v>1450511</v>
      </c>
      <c r="Q23" t="s">
        <v>35</v>
      </c>
      <c r="R23" t="s">
        <v>36</v>
      </c>
      <c r="S23" t="s">
        <v>45</v>
      </c>
      <c r="T23" t="s">
        <v>38</v>
      </c>
      <c r="U23">
        <v>8.5</v>
      </c>
      <c r="X23">
        <v>69</v>
      </c>
      <c r="Y23">
        <v>586.5</v>
      </c>
    </row>
    <row r="24" spans="1:25" x14ac:dyDescent="0.25">
      <c r="A24" t="s">
        <v>46</v>
      </c>
      <c r="B24" t="s">
        <v>26</v>
      </c>
      <c r="C24" t="s">
        <v>27</v>
      </c>
      <c r="D24" t="s">
        <v>28</v>
      </c>
      <c r="E24">
        <v>201</v>
      </c>
      <c r="G24" t="s">
        <v>56</v>
      </c>
      <c r="H24" t="s">
        <v>30</v>
      </c>
      <c r="I24" t="s">
        <v>57</v>
      </c>
      <c r="J24" t="s">
        <v>32</v>
      </c>
      <c r="K24" t="s">
        <v>33</v>
      </c>
      <c r="L24">
        <v>8334723</v>
      </c>
      <c r="M24" t="s">
        <v>34</v>
      </c>
      <c r="N24">
        <v>14227978</v>
      </c>
      <c r="O24" t="e">
        <f t="shared" si="0"/>
        <v>#NAME?</v>
      </c>
      <c r="P24">
        <v>1450511</v>
      </c>
      <c r="Q24" t="s">
        <v>35</v>
      </c>
      <c r="R24" t="s">
        <v>36</v>
      </c>
      <c r="S24" t="s">
        <v>37</v>
      </c>
      <c r="T24" t="s">
        <v>38</v>
      </c>
      <c r="U24">
        <v>8</v>
      </c>
      <c r="X24">
        <v>69</v>
      </c>
      <c r="Y24">
        <v>552</v>
      </c>
    </row>
    <row r="25" spans="1:25" x14ac:dyDescent="0.25">
      <c r="A25" t="s">
        <v>46</v>
      </c>
      <c r="B25" t="s">
        <v>26</v>
      </c>
      <c r="C25" t="s">
        <v>27</v>
      </c>
      <c r="D25" t="s">
        <v>28</v>
      </c>
      <c r="E25">
        <v>201</v>
      </c>
      <c r="G25" t="s">
        <v>60</v>
      </c>
      <c r="H25" t="s">
        <v>30</v>
      </c>
      <c r="I25" t="s">
        <v>64</v>
      </c>
      <c r="J25" t="s">
        <v>32</v>
      </c>
      <c r="K25" t="s">
        <v>33</v>
      </c>
      <c r="L25">
        <v>8334723</v>
      </c>
      <c r="M25" t="s">
        <v>34</v>
      </c>
      <c r="N25">
        <v>14227979</v>
      </c>
      <c r="O25" t="e">
        <f t="shared" si="0"/>
        <v>#NAME?</v>
      </c>
      <c r="P25">
        <v>1450511</v>
      </c>
      <c r="Q25" t="s">
        <v>35</v>
      </c>
      <c r="R25" t="s">
        <v>36</v>
      </c>
      <c r="S25" t="s">
        <v>37</v>
      </c>
      <c r="T25" t="s">
        <v>38</v>
      </c>
      <c r="U25">
        <v>8</v>
      </c>
      <c r="X25">
        <v>69</v>
      </c>
      <c r="Y25">
        <v>552</v>
      </c>
    </row>
    <row r="26" spans="1:25" x14ac:dyDescent="0.25">
      <c r="A26" t="s">
        <v>46</v>
      </c>
      <c r="B26" t="s">
        <v>26</v>
      </c>
      <c r="C26" t="s">
        <v>27</v>
      </c>
      <c r="D26" t="s">
        <v>28</v>
      </c>
      <c r="E26">
        <v>201</v>
      </c>
      <c r="G26" t="s">
        <v>62</v>
      </c>
      <c r="H26" t="s">
        <v>30</v>
      </c>
      <c r="I26" t="s">
        <v>65</v>
      </c>
      <c r="J26" t="s">
        <v>32</v>
      </c>
      <c r="K26" t="s">
        <v>33</v>
      </c>
      <c r="L26">
        <v>8334723</v>
      </c>
      <c r="M26" t="s">
        <v>34</v>
      </c>
      <c r="N26">
        <v>14227983</v>
      </c>
      <c r="O26" t="e">
        <f t="shared" si="0"/>
        <v>#NAME?</v>
      </c>
      <c r="P26">
        <v>1450511</v>
      </c>
      <c r="Q26" t="s">
        <v>35</v>
      </c>
      <c r="R26" t="s">
        <v>36</v>
      </c>
      <c r="S26" t="s">
        <v>37</v>
      </c>
      <c r="T26" t="s">
        <v>38</v>
      </c>
      <c r="U26">
        <v>8.25</v>
      </c>
      <c r="X26">
        <v>69</v>
      </c>
      <c r="Y26">
        <v>569.25</v>
      </c>
    </row>
    <row r="27" spans="1:25" x14ac:dyDescent="0.25">
      <c r="A27" t="s">
        <v>46</v>
      </c>
      <c r="B27" t="s">
        <v>26</v>
      </c>
      <c r="C27" t="s">
        <v>27</v>
      </c>
      <c r="D27" t="s">
        <v>28</v>
      </c>
      <c r="E27">
        <v>201</v>
      </c>
      <c r="G27" t="s">
        <v>66</v>
      </c>
      <c r="H27" t="s">
        <v>30</v>
      </c>
      <c r="I27" t="s">
        <v>67</v>
      </c>
      <c r="J27" t="s">
        <v>32</v>
      </c>
      <c r="K27" t="s">
        <v>33</v>
      </c>
      <c r="L27">
        <v>8334723</v>
      </c>
      <c r="M27" t="s">
        <v>34</v>
      </c>
      <c r="N27">
        <v>14228009</v>
      </c>
      <c r="O27" t="e">
        <f t="shared" si="0"/>
        <v>#NAME?</v>
      </c>
      <c r="P27">
        <v>1450511</v>
      </c>
      <c r="Q27" t="s">
        <v>35</v>
      </c>
      <c r="R27" t="s">
        <v>36</v>
      </c>
      <c r="S27" t="s">
        <v>37</v>
      </c>
      <c r="T27" t="s">
        <v>38</v>
      </c>
      <c r="U27">
        <v>7.25</v>
      </c>
      <c r="X27">
        <v>69</v>
      </c>
      <c r="Y27">
        <v>500.25</v>
      </c>
    </row>
    <row r="28" spans="1:25" x14ac:dyDescent="0.25">
      <c r="A28" t="s">
        <v>46</v>
      </c>
      <c r="B28" t="s">
        <v>26</v>
      </c>
      <c r="C28" t="s">
        <v>27</v>
      </c>
      <c r="D28" t="s">
        <v>28</v>
      </c>
      <c r="E28">
        <v>201</v>
      </c>
      <c r="G28" t="s">
        <v>66</v>
      </c>
      <c r="H28" t="s">
        <v>30</v>
      </c>
      <c r="I28" t="s">
        <v>67</v>
      </c>
      <c r="J28" t="s">
        <v>32</v>
      </c>
      <c r="K28" t="s">
        <v>33</v>
      </c>
      <c r="L28">
        <v>8334723</v>
      </c>
      <c r="M28" t="s">
        <v>34</v>
      </c>
      <c r="N28">
        <v>14228009</v>
      </c>
      <c r="O28" t="e">
        <f t="shared" si="0"/>
        <v>#NAME?</v>
      </c>
      <c r="P28">
        <v>1450511</v>
      </c>
      <c r="Q28" t="s">
        <v>35</v>
      </c>
      <c r="R28" t="s">
        <v>36</v>
      </c>
      <c r="S28" t="s">
        <v>37</v>
      </c>
      <c r="T28" t="s">
        <v>68</v>
      </c>
      <c r="V28">
        <v>0.75</v>
      </c>
      <c r="X28">
        <v>79</v>
      </c>
      <c r="Y28">
        <v>59.25</v>
      </c>
    </row>
    <row r="29" spans="1:25" x14ac:dyDescent="0.25">
      <c r="A29" t="s">
        <v>50</v>
      </c>
      <c r="B29" t="s">
        <v>26</v>
      </c>
      <c r="C29" t="s">
        <v>27</v>
      </c>
      <c r="D29" t="s">
        <v>27</v>
      </c>
      <c r="E29">
        <v>201</v>
      </c>
      <c r="G29" t="s">
        <v>56</v>
      </c>
      <c r="H29" t="s">
        <v>30</v>
      </c>
      <c r="I29" t="s">
        <v>57</v>
      </c>
      <c r="J29" t="s">
        <v>32</v>
      </c>
      <c r="K29" t="s">
        <v>33</v>
      </c>
      <c r="L29">
        <v>8265655</v>
      </c>
      <c r="M29" t="s">
        <v>34</v>
      </c>
      <c r="N29">
        <v>14228026</v>
      </c>
      <c r="O29" t="e">
        <f t="shared" si="0"/>
        <v>#NAME?</v>
      </c>
      <c r="P29">
        <v>1450511</v>
      </c>
      <c r="Q29" t="s">
        <v>35</v>
      </c>
      <c r="R29" t="s">
        <v>36</v>
      </c>
      <c r="S29" t="s">
        <v>37</v>
      </c>
      <c r="T29" t="s">
        <v>38</v>
      </c>
      <c r="U29">
        <v>8</v>
      </c>
      <c r="X29">
        <v>67</v>
      </c>
      <c r="Y29">
        <v>536</v>
      </c>
    </row>
    <row r="30" spans="1:25" x14ac:dyDescent="0.25">
      <c r="A30" t="s">
        <v>50</v>
      </c>
      <c r="B30" t="s">
        <v>26</v>
      </c>
      <c r="C30" t="s">
        <v>27</v>
      </c>
      <c r="D30" t="s">
        <v>27</v>
      </c>
      <c r="E30">
        <v>201</v>
      </c>
      <c r="G30" t="s">
        <v>58</v>
      </c>
      <c r="H30" t="s">
        <v>30</v>
      </c>
      <c r="I30" t="s">
        <v>69</v>
      </c>
      <c r="J30" t="s">
        <v>32</v>
      </c>
      <c r="K30" t="s">
        <v>33</v>
      </c>
      <c r="L30">
        <v>8265655</v>
      </c>
      <c r="M30" t="s">
        <v>34</v>
      </c>
      <c r="N30">
        <v>14228034</v>
      </c>
      <c r="O30" t="e">
        <f t="shared" si="0"/>
        <v>#NAME?</v>
      </c>
      <c r="P30">
        <v>1450511</v>
      </c>
      <c r="Q30" t="s">
        <v>35</v>
      </c>
      <c r="R30" t="s">
        <v>36</v>
      </c>
      <c r="S30" t="s">
        <v>37</v>
      </c>
      <c r="T30" t="s">
        <v>38</v>
      </c>
      <c r="U30">
        <v>8</v>
      </c>
      <c r="X30">
        <v>67</v>
      </c>
      <c r="Y30">
        <v>536</v>
      </c>
    </row>
    <row r="31" spans="1:25" x14ac:dyDescent="0.25">
      <c r="A31" t="s">
        <v>50</v>
      </c>
      <c r="B31" t="s">
        <v>26</v>
      </c>
      <c r="C31" t="s">
        <v>27</v>
      </c>
      <c r="D31" t="s">
        <v>27</v>
      </c>
      <c r="E31">
        <v>201</v>
      </c>
      <c r="G31" t="s">
        <v>60</v>
      </c>
      <c r="H31" t="s">
        <v>30</v>
      </c>
      <c r="I31" t="s">
        <v>70</v>
      </c>
      <c r="J31" t="s">
        <v>32</v>
      </c>
      <c r="K31" t="s">
        <v>33</v>
      </c>
      <c r="L31">
        <v>8265655</v>
      </c>
      <c r="M31" t="s">
        <v>34</v>
      </c>
      <c r="N31">
        <v>14228038</v>
      </c>
      <c r="O31" t="e">
        <f t="shared" si="0"/>
        <v>#NAME?</v>
      </c>
      <c r="P31">
        <v>1450511</v>
      </c>
      <c r="Q31" t="s">
        <v>35</v>
      </c>
      <c r="R31" t="s">
        <v>36</v>
      </c>
      <c r="S31" t="s">
        <v>37</v>
      </c>
      <c r="T31" t="s">
        <v>38</v>
      </c>
      <c r="U31">
        <v>5</v>
      </c>
      <c r="X31">
        <v>67</v>
      </c>
      <c r="Y31">
        <v>335</v>
      </c>
    </row>
    <row r="32" spans="1:25" x14ac:dyDescent="0.25">
      <c r="A32" t="s">
        <v>50</v>
      </c>
      <c r="B32" t="s">
        <v>26</v>
      </c>
      <c r="C32" t="s">
        <v>27</v>
      </c>
      <c r="D32" t="s">
        <v>27</v>
      </c>
      <c r="E32">
        <v>201</v>
      </c>
      <c r="G32" t="s">
        <v>66</v>
      </c>
      <c r="H32" t="s">
        <v>30</v>
      </c>
      <c r="I32" t="s">
        <v>67</v>
      </c>
      <c r="J32" t="s">
        <v>32</v>
      </c>
      <c r="K32" t="s">
        <v>33</v>
      </c>
      <c r="L32">
        <v>8265655</v>
      </c>
      <c r="M32" t="s">
        <v>34</v>
      </c>
      <c r="N32">
        <v>14228046</v>
      </c>
      <c r="O32" t="e">
        <f t="shared" si="0"/>
        <v>#NAME?</v>
      </c>
      <c r="P32">
        <v>1450511</v>
      </c>
      <c r="Q32" t="s">
        <v>35</v>
      </c>
      <c r="R32" t="s">
        <v>36</v>
      </c>
      <c r="S32" t="s">
        <v>37</v>
      </c>
      <c r="T32" t="s">
        <v>38</v>
      </c>
      <c r="U32">
        <v>8</v>
      </c>
      <c r="X32">
        <v>67</v>
      </c>
      <c r="Y32">
        <v>536</v>
      </c>
    </row>
    <row r="33" spans="1:25" x14ac:dyDescent="0.25">
      <c r="A33" t="s">
        <v>50</v>
      </c>
      <c r="B33" t="s">
        <v>26</v>
      </c>
      <c r="C33" t="s">
        <v>27</v>
      </c>
      <c r="D33" t="s">
        <v>27</v>
      </c>
      <c r="E33">
        <v>201</v>
      </c>
      <c r="G33" t="s">
        <v>71</v>
      </c>
      <c r="H33" t="s">
        <v>30</v>
      </c>
      <c r="I33" t="s">
        <v>72</v>
      </c>
      <c r="J33" t="s">
        <v>32</v>
      </c>
      <c r="K33" t="s">
        <v>33</v>
      </c>
      <c r="L33">
        <v>8265655</v>
      </c>
      <c r="M33" t="s">
        <v>34</v>
      </c>
      <c r="N33">
        <v>14228050</v>
      </c>
      <c r="O33" t="e">
        <f t="shared" si="0"/>
        <v>#NAME?</v>
      </c>
      <c r="P33">
        <v>1450511</v>
      </c>
      <c r="Q33" t="s">
        <v>35</v>
      </c>
      <c r="R33" t="s">
        <v>36</v>
      </c>
      <c r="S33" t="s">
        <v>45</v>
      </c>
      <c r="T33" t="s">
        <v>38</v>
      </c>
      <c r="U33">
        <v>8</v>
      </c>
      <c r="X33">
        <v>67</v>
      </c>
      <c r="Y33">
        <v>536</v>
      </c>
    </row>
    <row r="34" spans="1:25" x14ac:dyDescent="0.25">
      <c r="A34" t="s">
        <v>53</v>
      </c>
      <c r="B34" t="s">
        <v>26</v>
      </c>
      <c r="C34" t="s">
        <v>27</v>
      </c>
      <c r="D34" t="s">
        <v>28</v>
      </c>
      <c r="E34">
        <v>201</v>
      </c>
      <c r="G34" t="s">
        <v>56</v>
      </c>
      <c r="H34" t="s">
        <v>30</v>
      </c>
      <c r="I34" t="s">
        <v>57</v>
      </c>
      <c r="J34" t="s">
        <v>32</v>
      </c>
      <c r="K34" t="s">
        <v>33</v>
      </c>
      <c r="L34">
        <v>8181726</v>
      </c>
      <c r="M34" t="s">
        <v>34</v>
      </c>
      <c r="N34">
        <v>14228054</v>
      </c>
      <c r="O34" t="e">
        <f t="shared" si="0"/>
        <v>#NAME?</v>
      </c>
      <c r="P34">
        <v>1450511</v>
      </c>
      <c r="Q34" t="s">
        <v>35</v>
      </c>
      <c r="R34" t="s">
        <v>36</v>
      </c>
      <c r="S34" t="s">
        <v>37</v>
      </c>
      <c r="T34" t="s">
        <v>38</v>
      </c>
      <c r="U34">
        <v>8</v>
      </c>
      <c r="X34">
        <v>67</v>
      </c>
      <c r="Y34">
        <v>536</v>
      </c>
    </row>
    <row r="35" spans="1:25" x14ac:dyDescent="0.25">
      <c r="A35" t="s">
        <v>53</v>
      </c>
      <c r="B35" t="s">
        <v>26</v>
      </c>
      <c r="C35" t="s">
        <v>27</v>
      </c>
      <c r="D35" t="s">
        <v>28</v>
      </c>
      <c r="E35">
        <v>201</v>
      </c>
      <c r="G35" t="s">
        <v>58</v>
      </c>
      <c r="H35" t="s">
        <v>30</v>
      </c>
      <c r="I35" t="s">
        <v>69</v>
      </c>
      <c r="J35" t="s">
        <v>32</v>
      </c>
      <c r="K35" t="s">
        <v>33</v>
      </c>
      <c r="L35">
        <v>8181726</v>
      </c>
      <c r="M35" t="s">
        <v>34</v>
      </c>
      <c r="N35">
        <v>14228071</v>
      </c>
      <c r="O35" t="e">
        <f t="shared" si="0"/>
        <v>#NAME?</v>
      </c>
      <c r="P35">
        <v>1450511</v>
      </c>
      <c r="Q35" t="s">
        <v>35</v>
      </c>
      <c r="R35" t="s">
        <v>36</v>
      </c>
      <c r="S35" t="s">
        <v>37</v>
      </c>
      <c r="T35" t="s">
        <v>38</v>
      </c>
      <c r="U35">
        <v>8</v>
      </c>
      <c r="X35">
        <v>67</v>
      </c>
      <c r="Y35">
        <v>536</v>
      </c>
    </row>
    <row r="36" spans="1:25" x14ac:dyDescent="0.25">
      <c r="A36" t="s">
        <v>53</v>
      </c>
      <c r="B36" t="s">
        <v>26</v>
      </c>
      <c r="C36" t="s">
        <v>27</v>
      </c>
      <c r="D36" t="s">
        <v>28</v>
      </c>
      <c r="E36">
        <v>201</v>
      </c>
      <c r="G36" t="s">
        <v>60</v>
      </c>
      <c r="H36" t="s">
        <v>30</v>
      </c>
      <c r="I36" t="s">
        <v>64</v>
      </c>
      <c r="J36" t="s">
        <v>32</v>
      </c>
      <c r="K36" t="s">
        <v>33</v>
      </c>
      <c r="L36">
        <v>8181726</v>
      </c>
      <c r="M36" t="s">
        <v>34</v>
      </c>
      <c r="N36">
        <v>14228076</v>
      </c>
      <c r="O36" t="e">
        <f t="shared" si="0"/>
        <v>#NAME?</v>
      </c>
      <c r="P36">
        <v>1450511</v>
      </c>
      <c r="Q36" t="s">
        <v>35</v>
      </c>
      <c r="R36" t="s">
        <v>36</v>
      </c>
      <c r="S36" t="s">
        <v>37</v>
      </c>
      <c r="T36" t="s">
        <v>38</v>
      </c>
      <c r="U36">
        <v>8</v>
      </c>
      <c r="X36">
        <v>67</v>
      </c>
      <c r="Y36">
        <v>536</v>
      </c>
    </row>
    <row r="37" spans="1:25" x14ac:dyDescent="0.25">
      <c r="A37" t="s">
        <v>53</v>
      </c>
      <c r="B37" t="s">
        <v>26</v>
      </c>
      <c r="C37" t="s">
        <v>27</v>
      </c>
      <c r="D37" t="s">
        <v>28</v>
      </c>
      <c r="E37">
        <v>201</v>
      </c>
      <c r="G37" t="s">
        <v>62</v>
      </c>
      <c r="H37" t="s">
        <v>30</v>
      </c>
      <c r="I37" t="s">
        <v>73</v>
      </c>
      <c r="J37" t="s">
        <v>32</v>
      </c>
      <c r="K37" t="s">
        <v>33</v>
      </c>
      <c r="L37">
        <v>8181726</v>
      </c>
      <c r="M37" t="s">
        <v>34</v>
      </c>
      <c r="N37">
        <v>14228083</v>
      </c>
      <c r="O37" t="e">
        <f t="shared" si="0"/>
        <v>#NAME?</v>
      </c>
      <c r="P37">
        <v>1450511</v>
      </c>
      <c r="Q37" t="s">
        <v>35</v>
      </c>
      <c r="R37" t="s">
        <v>36</v>
      </c>
      <c r="S37" t="s">
        <v>37</v>
      </c>
      <c r="T37" t="s">
        <v>38</v>
      </c>
      <c r="U37">
        <v>4.5</v>
      </c>
      <c r="X37">
        <v>67</v>
      </c>
      <c r="Y37">
        <v>301.5</v>
      </c>
    </row>
    <row r="38" spans="1:25" x14ac:dyDescent="0.25">
      <c r="A38" t="s">
        <v>53</v>
      </c>
      <c r="B38" t="s">
        <v>26</v>
      </c>
      <c r="C38" t="s">
        <v>27</v>
      </c>
      <c r="D38" t="s">
        <v>28</v>
      </c>
      <c r="E38">
        <v>201</v>
      </c>
      <c r="G38" t="s">
        <v>66</v>
      </c>
      <c r="H38" t="s">
        <v>30</v>
      </c>
      <c r="I38" t="s">
        <v>67</v>
      </c>
      <c r="J38" t="s">
        <v>32</v>
      </c>
      <c r="K38" t="s">
        <v>33</v>
      </c>
      <c r="L38">
        <v>8181726</v>
      </c>
      <c r="M38" t="s">
        <v>34</v>
      </c>
      <c r="N38">
        <v>14228089</v>
      </c>
      <c r="O38" t="e">
        <f t="shared" si="0"/>
        <v>#NAME?</v>
      </c>
      <c r="P38">
        <v>1450511</v>
      </c>
      <c r="Q38" t="s">
        <v>35</v>
      </c>
      <c r="R38" t="s">
        <v>36</v>
      </c>
      <c r="S38" t="s">
        <v>37</v>
      </c>
      <c r="T38" t="s">
        <v>38</v>
      </c>
      <c r="U38">
        <v>8</v>
      </c>
      <c r="X38">
        <v>67</v>
      </c>
      <c r="Y38">
        <v>536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1DF804CB17E644C8FDF90F058C709F5" ma:contentTypeVersion="9" ma:contentTypeDescription="Create a new document." ma:contentTypeScope="" ma:versionID="1f2c6ec34644125891728922eaedc281">
  <xsd:schema xmlns:xsd="http://www.w3.org/2001/XMLSchema" xmlns:xs="http://www.w3.org/2001/XMLSchema" xmlns:p="http://schemas.microsoft.com/office/2006/metadata/properties" xmlns:ns3="b83132f1-85e5-47f2-b70b-e5d23f50a85c" targetNamespace="http://schemas.microsoft.com/office/2006/metadata/properties" ma:root="true" ma:fieldsID="3b7024e451679e2673fd4eacd58c27fb" ns3:_="">
    <xsd:import namespace="b83132f1-85e5-47f2-b70b-e5d23f50a85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3132f1-85e5-47f2-b70b-e5d23f50a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5AC805-0938-47CC-8181-CF2BA90032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3132f1-85e5-47f2-b70b-e5d23f50a8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33348A1-3350-410A-A2FA-BC8142783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A25C34-D7A5-43AB-B9AE-A969D6DD7E1D}">
  <ds:schemaRefs>
    <ds:schemaRef ds:uri="http://purl.org/dc/elements/1.1/"/>
    <ds:schemaRef ds:uri="http://schemas.microsoft.com/office/2006/metadata/properties"/>
    <ds:schemaRef ds:uri="b83132f1-85e5-47f2-b70b-e5d23f50a85c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MSVStatement (26)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Gamm</dc:creator>
  <cp:lastModifiedBy>Emily Gamm</cp:lastModifiedBy>
  <dcterms:created xsi:type="dcterms:W3CDTF">2020-01-03T17:37:04Z</dcterms:created>
  <dcterms:modified xsi:type="dcterms:W3CDTF">2020-01-03T17:37:04Z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0x010100F1DF804CB17E644C8FDF90F058C709F5</vt:lpwstr>
  </property>
</Properties>
</file>